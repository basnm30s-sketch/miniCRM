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2ADEEDF-777D-4009-BF01-D635E305F6B7}" xr6:coauthVersionLast="47" xr6:coauthVersionMax="47" xr10:uidLastSave="{00000000-0000-0000-0000-000000000000}"/>
  <bookViews>
    <workbookView xWindow="-110" yWindow="-110" windowWidth="19420" windowHeight="11500" xr2:uid="{E57539B5-B4E8-4B2C-84CA-F769875D6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4" i="1" l="1"/>
  <c r="AO13" i="1"/>
  <c r="AQ13" i="1" s="1"/>
  <c r="AK13" i="1"/>
  <c r="AO12" i="1"/>
  <c r="AQ12" i="1" s="1"/>
  <c r="AK12" i="1"/>
  <c r="AO11" i="1"/>
  <c r="AQ11" i="1" s="1"/>
  <c r="AO10" i="1"/>
  <c r="AQ10" i="1" s="1"/>
  <c r="AK10" i="1"/>
  <c r="AQ9" i="1"/>
  <c r="AK9" i="1"/>
  <c r="AO8" i="1"/>
  <c r="AQ8" i="1" s="1"/>
  <c r="AK8" i="1"/>
  <c r="AO7" i="1"/>
  <c r="AQ7" i="1" s="1"/>
  <c r="AK7" i="1"/>
  <c r="AO6" i="1"/>
  <c r="AQ6" i="1" s="1"/>
  <c r="AK6" i="1"/>
  <c r="AQ5" i="1"/>
  <c r="AO5" i="1"/>
  <c r="AK5" i="1"/>
  <c r="AO4" i="1"/>
  <c r="AQ4" i="1" s="1"/>
  <c r="AQ15" i="1" s="1"/>
  <c r="AK4" i="1"/>
</calcChain>
</file>

<file path=xl/sharedStrings.xml><?xml version="1.0" encoding="utf-8"?>
<sst xmlns="http://schemas.openxmlformats.org/spreadsheetml/2006/main" count="78" uniqueCount="66">
  <si>
    <t>ALMSAR ALZAKI TRANSPRTATION AND MAINTANANCE</t>
  </si>
  <si>
    <r>
      <t xml:space="preserve">TIME SHEET FOR THE MONTHE OF      </t>
    </r>
    <r>
      <rPr>
        <b/>
        <sz val="12"/>
        <color rgb="FFFF0000"/>
        <rFont val="Aptos Narrow"/>
        <family val="2"/>
        <scheme val="minor"/>
      </rPr>
      <t xml:space="preserve">   9-2025</t>
    </r>
  </si>
  <si>
    <t xml:space="preserve">OVER TIME </t>
  </si>
  <si>
    <t>SALARY</t>
  </si>
  <si>
    <t>RATE OF HOUR</t>
  </si>
  <si>
    <t>EXTRA</t>
  </si>
  <si>
    <t>DEDUCT</t>
  </si>
  <si>
    <t>TOT SALRY +OVER TIME</t>
  </si>
  <si>
    <t>NO.</t>
  </si>
  <si>
    <t>Owner</t>
  </si>
  <si>
    <t>Company</t>
  </si>
  <si>
    <t>Vehicle NO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</si>
  <si>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</si>
  <si>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</si>
  <si>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</si>
  <si>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</si>
  <si>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</si>
  <si>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</si>
  <si>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</si>
  <si>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</si>
  <si>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</si>
  <si>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</si>
  <si>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</si>
  <si>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</si>
  <si>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</si>
  <si>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</si>
  <si>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</si>
  <si>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</si>
  <si>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</si>
  <si>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</si>
  <si>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</si>
  <si>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</si>
  <si>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</si>
  <si>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</si>
  <si>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</si>
  <si>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</si>
  <si>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</si>
  <si>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</si>
  <si>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</si>
  <si>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</si>
  <si>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</si>
  <si>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</si>
  <si>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</si>
  <si>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</si>
  <si>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</si>
  <si>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Abdallah</t>
  </si>
  <si>
    <t>المشتركه</t>
  </si>
  <si>
    <t>حزب</t>
  </si>
  <si>
    <t>نور احمد</t>
  </si>
  <si>
    <t>Saleh</t>
  </si>
  <si>
    <t>رشيد</t>
  </si>
  <si>
    <t>Mohammed</t>
  </si>
  <si>
    <t>فريد</t>
  </si>
  <si>
    <t>النسر</t>
  </si>
  <si>
    <t>وسيم</t>
  </si>
  <si>
    <t>ماي حلو</t>
  </si>
  <si>
    <t>نصيب</t>
  </si>
  <si>
    <t>رزان محمد</t>
  </si>
  <si>
    <t>نيتكو</t>
  </si>
  <si>
    <t>حميد</t>
  </si>
  <si>
    <t>Almsar</t>
  </si>
  <si>
    <t>MD</t>
  </si>
  <si>
    <t>نواز</t>
  </si>
  <si>
    <t>سامي</t>
  </si>
  <si>
    <t>بوحسن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</si>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</sst>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D830-2255-4723-B133-407D696CBC42}">
  <dimension ref="A1:AQ15"/>
  <sheetViews>
    <sheetView tabSelected="1" workbookViewId="0">
      <selection activeCell="G17" sqref="G17"/>
    </sheetView>
  </sheetViews>
  <sheetFormatPr defaultRowHeight="14.5" x14ac:dyDescent="0.35"/>
  <sheetData>
    <row r="1" spans="1:43" ht="18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3"/>
      <c r="AN1" s="3"/>
      <c r="AO1" s="3"/>
      <c r="AP1" s="3"/>
      <c r="AQ1" s="3"/>
    </row>
    <row r="2" spans="1:43" ht="16" x14ac:dyDescent="0.35">
      <c r="A2" s="3"/>
      <c r="B2" s="3"/>
      <c r="C2" s="3"/>
      <c r="D2" s="3"/>
      <c r="E2" s="3"/>
      <c r="F2" s="4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5" t="s">
        <v>2</v>
      </c>
      <c r="AM2" s="6" t="s">
        <v>3</v>
      </c>
      <c r="AN2" s="7" t="s">
        <v>4</v>
      </c>
      <c r="AO2" s="7" t="s">
        <v>5</v>
      </c>
      <c r="AP2" s="8" t="s">
        <v>6</v>
      </c>
      <c r="AQ2" s="9" t="s">
        <v>7</v>
      </c>
    </row>
    <row r="3" spans="1:43" x14ac:dyDescent="0.35">
      <c r="A3" s="10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1" t="s">
        <v>13</v>
      </c>
      <c r="G3" s="11" t="s">
        <v>14</v>
      </c>
      <c r="H3" s="11" t="s">
        <v>15</v>
      </c>
      <c r="I3" s="12" t="s">
        <v>16</v>
      </c>
      <c r="J3" s="11" t="s">
        <v>17</v>
      </c>
      <c r="K3" s="11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2" t="s">
        <v>23</v>
      </c>
      <c r="Q3" s="11" t="s">
        <v>24</v>
      </c>
      <c r="R3" s="11" t="s">
        <v>25</v>
      </c>
      <c r="S3" s="11" t="s">
        <v>26</v>
      </c>
      <c r="T3" s="12" t="s">
        <v>27</v>
      </c>
      <c r="U3" s="11" t="s">
        <v>28</v>
      </c>
      <c r="V3" s="11" t="s">
        <v>29</v>
      </c>
      <c r="W3" s="12" t="s">
        <v>30</v>
      </c>
      <c r="X3" s="11" t="s">
        <v>31</v>
      </c>
      <c r="Y3" s="11" t="s">
        <v>32</v>
      </c>
      <c r="Z3" s="11" t="s">
        <v>33</v>
      </c>
      <c r="AA3" s="12" t="s">
        <v>34</v>
      </c>
      <c r="AB3" s="11" t="s">
        <v>35</v>
      </c>
      <c r="AC3" s="11" t="s">
        <v>36</v>
      </c>
      <c r="AD3" s="12" t="s">
        <v>37</v>
      </c>
      <c r="AE3" s="11" t="s">
        <v>38</v>
      </c>
      <c r="AF3" s="11" t="s">
        <v>39</v>
      </c>
      <c r="AG3" s="11" t="s">
        <v>40</v>
      </c>
      <c r="AH3" s="12" t="s">
        <v>41</v>
      </c>
      <c r="AI3" s="11" t="s">
        <v>42</v>
      </c>
      <c r="AJ3" s="11" t="s">
        <v>43</v>
      </c>
      <c r="AK3" s="13" t="s">
        <v>44</v>
      </c>
      <c r="AL3" s="5"/>
      <c r="AM3" s="6"/>
      <c r="AN3" s="7"/>
      <c r="AO3" s="7"/>
      <c r="AP3" s="8"/>
      <c r="AQ3" s="9"/>
    </row>
    <row r="4" spans="1:43" x14ac:dyDescent="0.35">
      <c r="A4" s="14">
        <v>1</v>
      </c>
      <c r="B4" s="14" t="s">
        <v>45</v>
      </c>
      <c r="C4" s="15" t="s">
        <v>46</v>
      </c>
      <c r="D4" s="15">
        <v>92532</v>
      </c>
      <c r="E4" s="15" t="s">
        <v>47</v>
      </c>
      <c r="F4" s="14"/>
      <c r="G4" s="14"/>
      <c r="H4" s="14"/>
      <c r="I4" s="14"/>
      <c r="J4" s="14"/>
      <c r="K4" s="14"/>
      <c r="L4" s="14"/>
      <c r="M4" s="16"/>
      <c r="N4" s="14"/>
      <c r="O4" s="14"/>
      <c r="P4" s="14"/>
      <c r="Q4" s="14"/>
      <c r="R4" s="14"/>
      <c r="S4" s="17"/>
      <c r="T4" s="18"/>
      <c r="U4" s="17"/>
      <c r="V4" s="17"/>
      <c r="W4" s="17"/>
      <c r="X4" s="17"/>
      <c r="Y4" s="17"/>
      <c r="Z4" s="17"/>
      <c r="AA4" s="18"/>
      <c r="AB4" s="17"/>
      <c r="AC4" s="17"/>
      <c r="AD4" s="17"/>
      <c r="AE4" s="17"/>
      <c r="AF4" s="17"/>
      <c r="AG4" s="17"/>
      <c r="AH4" s="18"/>
      <c r="AI4" s="17"/>
      <c r="AJ4" s="14"/>
      <c r="AK4" s="14">
        <f>SUM(F4:AJ4)</f>
        <v>0</v>
      </c>
      <c r="AL4" s="14"/>
      <c r="AM4" s="14">
        <v>0</v>
      </c>
      <c r="AN4" s="14">
        <v>0</v>
      </c>
      <c r="AO4" s="14">
        <f>SUM(AN4*AL4)</f>
        <v>0</v>
      </c>
      <c r="AP4" s="14"/>
      <c r="AQ4" s="14">
        <f>SUM(AM4+AO4-AP4)</f>
        <v>0</v>
      </c>
    </row>
    <row r="5" spans="1:43" x14ac:dyDescent="0.35">
      <c r="A5" s="3"/>
      <c r="B5" s="3" t="s">
        <v>45</v>
      </c>
      <c r="C5" s="13" t="s">
        <v>46</v>
      </c>
      <c r="D5" s="13">
        <v>92532</v>
      </c>
      <c r="E5" s="13" t="s">
        <v>48</v>
      </c>
      <c r="F5" s="3"/>
      <c r="G5" s="3"/>
      <c r="H5" s="3"/>
      <c r="I5" s="3"/>
      <c r="J5" s="3"/>
      <c r="K5" s="3"/>
      <c r="L5" s="3"/>
      <c r="M5" s="19"/>
      <c r="N5" s="3"/>
      <c r="O5" s="3"/>
      <c r="P5" s="3"/>
      <c r="Q5" s="3"/>
      <c r="R5" s="3"/>
      <c r="S5" s="3"/>
      <c r="T5" s="19"/>
      <c r="U5" s="3"/>
      <c r="V5" s="3"/>
      <c r="W5" s="3"/>
      <c r="X5" s="3"/>
      <c r="Y5" s="3"/>
      <c r="Z5" s="3"/>
      <c r="AA5" s="19"/>
      <c r="AB5" s="3"/>
      <c r="AC5" s="3"/>
      <c r="AD5" s="3"/>
      <c r="AE5" s="3"/>
      <c r="AF5" s="3"/>
      <c r="AG5" s="3"/>
      <c r="AH5" s="19"/>
      <c r="AI5" s="3"/>
      <c r="AJ5" s="3"/>
      <c r="AK5" s="3">
        <f>SUM(F5:AJ5)</f>
        <v>0</v>
      </c>
      <c r="AL5" s="3"/>
      <c r="AM5" s="3">
        <v>2500</v>
      </c>
      <c r="AN5" s="3">
        <v>8.33</v>
      </c>
      <c r="AO5" s="3">
        <f>SUM(AN5*AL5)</f>
        <v>0</v>
      </c>
      <c r="AP5" s="3"/>
      <c r="AQ5" s="3">
        <f>SUM(AM5+AO5-AP5)</f>
        <v>2500</v>
      </c>
    </row>
    <row r="6" spans="1:43" x14ac:dyDescent="0.35">
      <c r="A6" s="3">
        <v>2</v>
      </c>
      <c r="B6" s="3" t="s">
        <v>49</v>
      </c>
      <c r="C6" s="20" t="s">
        <v>46</v>
      </c>
      <c r="D6" s="20">
        <v>82178</v>
      </c>
      <c r="E6" s="20" t="s">
        <v>50</v>
      </c>
      <c r="F6" s="3"/>
      <c r="G6" s="3"/>
      <c r="H6" s="3"/>
      <c r="I6" s="3"/>
      <c r="J6" s="3"/>
      <c r="K6" s="3"/>
      <c r="L6" s="3"/>
      <c r="M6" s="19"/>
      <c r="N6" s="3"/>
      <c r="O6" s="3"/>
      <c r="P6" s="3"/>
      <c r="Q6" s="3"/>
      <c r="R6" s="3"/>
      <c r="S6" s="3"/>
      <c r="T6" s="19"/>
      <c r="U6" s="3"/>
      <c r="V6" s="3"/>
      <c r="W6" s="3"/>
      <c r="X6" s="3"/>
      <c r="Y6" s="3"/>
      <c r="Z6" s="3"/>
      <c r="AA6" s="19"/>
      <c r="AB6" s="3"/>
      <c r="AC6" s="3"/>
      <c r="AD6" s="3"/>
      <c r="AE6" s="3"/>
      <c r="AF6" s="3"/>
      <c r="AG6" s="3"/>
      <c r="AH6" s="19"/>
      <c r="AI6" s="3"/>
      <c r="AJ6" s="3"/>
      <c r="AK6" s="21">
        <f t="shared" ref="AK6:AK13" si="0">SUM(F6:AJ6)</f>
        <v>0</v>
      </c>
      <c r="AL6" s="21"/>
      <c r="AM6" s="21">
        <v>3000</v>
      </c>
      <c r="AN6" s="21">
        <v>10</v>
      </c>
      <c r="AO6" s="3">
        <f t="shared" ref="AO6:AO14" si="1">SUM(AN6*AL6)</f>
        <v>0</v>
      </c>
      <c r="AP6" s="22"/>
      <c r="AQ6" s="3">
        <f t="shared" ref="AQ6:AQ13" si="2">SUM(AM6+AO6-AP6)</f>
        <v>3000</v>
      </c>
    </row>
    <row r="7" spans="1:43" x14ac:dyDescent="0.35">
      <c r="A7" s="3">
        <v>3</v>
      </c>
      <c r="B7" s="3" t="s">
        <v>51</v>
      </c>
      <c r="C7" s="13" t="s">
        <v>46</v>
      </c>
      <c r="D7" s="13">
        <v>1976</v>
      </c>
      <c r="E7" s="13" t="s">
        <v>52</v>
      </c>
      <c r="F7" s="3"/>
      <c r="G7" s="3"/>
      <c r="H7" s="3"/>
      <c r="I7" s="3"/>
      <c r="J7" s="3"/>
      <c r="K7" s="3"/>
      <c r="L7" s="3"/>
      <c r="M7" s="19"/>
      <c r="N7" s="3"/>
      <c r="O7" s="3"/>
      <c r="P7" s="3"/>
      <c r="Q7" s="3"/>
      <c r="R7" s="3"/>
      <c r="S7" s="3"/>
      <c r="T7" s="19"/>
      <c r="U7" s="3"/>
      <c r="V7" s="3"/>
      <c r="W7" s="3"/>
      <c r="X7" s="3"/>
      <c r="Y7" s="3"/>
      <c r="Z7" s="3"/>
      <c r="AA7" s="19"/>
      <c r="AB7" s="3"/>
      <c r="AC7" s="3"/>
      <c r="AD7" s="3"/>
      <c r="AE7" s="3"/>
      <c r="AF7" s="3"/>
      <c r="AG7" s="3"/>
      <c r="AH7" s="19"/>
      <c r="AI7" s="3"/>
      <c r="AJ7" s="3"/>
      <c r="AK7" s="3">
        <f t="shared" si="0"/>
        <v>0</v>
      </c>
      <c r="AL7" s="3"/>
      <c r="AM7" s="3">
        <v>2500</v>
      </c>
      <c r="AN7" s="3">
        <v>8.33</v>
      </c>
      <c r="AO7" s="3">
        <f t="shared" si="1"/>
        <v>0</v>
      </c>
      <c r="AP7" s="3"/>
      <c r="AQ7" s="3">
        <f t="shared" si="2"/>
        <v>2500</v>
      </c>
    </row>
    <row r="8" spans="1:43" x14ac:dyDescent="0.35">
      <c r="A8" s="3">
        <v>4</v>
      </c>
      <c r="B8" s="3" t="s">
        <v>51</v>
      </c>
      <c r="C8" s="20" t="s">
        <v>53</v>
      </c>
      <c r="D8" s="20">
        <v>91096</v>
      </c>
      <c r="E8" s="20" t="s">
        <v>54</v>
      </c>
      <c r="F8" s="3"/>
      <c r="G8" s="3"/>
      <c r="H8" s="3"/>
      <c r="I8" s="3"/>
      <c r="J8" s="3"/>
      <c r="K8" s="3"/>
      <c r="L8" s="3"/>
      <c r="M8" s="19"/>
      <c r="N8" s="3"/>
      <c r="O8" s="3"/>
      <c r="P8" s="3"/>
      <c r="Q8" s="3"/>
      <c r="R8" s="3"/>
      <c r="S8" s="3"/>
      <c r="T8" s="19"/>
      <c r="U8" s="3"/>
      <c r="V8" s="3"/>
      <c r="W8" s="3"/>
      <c r="X8" s="3"/>
      <c r="Y8" s="3"/>
      <c r="Z8" s="3"/>
      <c r="AA8" s="19"/>
      <c r="AB8" s="3"/>
      <c r="AC8" s="3"/>
      <c r="AD8" s="3"/>
      <c r="AE8" s="3"/>
      <c r="AF8" s="3"/>
      <c r="AG8" s="3"/>
      <c r="AH8" s="19"/>
      <c r="AI8" s="3"/>
      <c r="AJ8" s="3"/>
      <c r="AK8" s="21">
        <f t="shared" si="0"/>
        <v>0</v>
      </c>
      <c r="AL8" s="21"/>
      <c r="AM8" s="21">
        <v>3500</v>
      </c>
      <c r="AN8" s="21">
        <v>10</v>
      </c>
      <c r="AO8" s="3">
        <f t="shared" si="1"/>
        <v>0</v>
      </c>
      <c r="AP8" s="21"/>
      <c r="AQ8" s="3">
        <f t="shared" si="2"/>
        <v>3500</v>
      </c>
    </row>
    <row r="9" spans="1:43" x14ac:dyDescent="0.35">
      <c r="A9" s="3">
        <v>5</v>
      </c>
      <c r="B9" s="3" t="s">
        <v>51</v>
      </c>
      <c r="C9" s="13" t="s">
        <v>55</v>
      </c>
      <c r="D9" s="13">
        <v>0</v>
      </c>
      <c r="E9" s="13" t="s">
        <v>56</v>
      </c>
      <c r="F9" s="3"/>
      <c r="G9" s="3"/>
      <c r="H9" s="3"/>
      <c r="I9" s="3"/>
      <c r="J9" s="3"/>
      <c r="K9" s="3"/>
      <c r="L9" s="3"/>
      <c r="M9" s="19"/>
      <c r="N9" s="3"/>
      <c r="O9" s="3"/>
      <c r="P9" s="3"/>
      <c r="Q9" s="3"/>
      <c r="R9" s="3"/>
      <c r="S9" s="3"/>
      <c r="T9" s="19"/>
      <c r="U9" s="3"/>
      <c r="V9" s="3"/>
      <c r="W9" s="3"/>
      <c r="X9" s="3"/>
      <c r="Y9" s="3"/>
      <c r="Z9" s="3"/>
      <c r="AA9" s="19"/>
      <c r="AB9" s="3"/>
      <c r="AC9" s="3"/>
      <c r="AD9" s="3"/>
      <c r="AE9" s="3"/>
      <c r="AF9" s="3"/>
      <c r="AG9" s="3"/>
      <c r="AH9" s="19"/>
      <c r="AI9" s="3"/>
      <c r="AJ9" s="3"/>
      <c r="AK9" s="3">
        <f t="shared" si="0"/>
        <v>0</v>
      </c>
      <c r="AL9" s="3"/>
      <c r="AM9" s="3">
        <v>3750</v>
      </c>
      <c r="AN9" s="3">
        <v>10</v>
      </c>
      <c r="AO9" s="3"/>
      <c r="AP9" s="3"/>
      <c r="AQ9" s="3">
        <f t="shared" si="2"/>
        <v>3750</v>
      </c>
    </row>
    <row r="10" spans="1:43" x14ac:dyDescent="0.35">
      <c r="A10" s="3">
        <v>6</v>
      </c>
      <c r="B10" s="3" t="s">
        <v>51</v>
      </c>
      <c r="C10" s="22" t="s">
        <v>53</v>
      </c>
      <c r="D10" s="22">
        <v>10401</v>
      </c>
      <c r="E10" s="23" t="s">
        <v>57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10</v>
      </c>
      <c r="O10" s="3">
        <v>10</v>
      </c>
      <c r="P10" s="3">
        <v>10</v>
      </c>
      <c r="Q10" s="3">
        <v>10</v>
      </c>
      <c r="R10" s="3">
        <v>10</v>
      </c>
      <c r="S10" s="3">
        <v>10</v>
      </c>
      <c r="T10" s="3">
        <v>10</v>
      </c>
      <c r="U10" s="3">
        <v>10</v>
      </c>
      <c r="V10" s="3">
        <v>10</v>
      </c>
      <c r="W10" s="3">
        <v>10</v>
      </c>
      <c r="X10" s="3">
        <v>10</v>
      </c>
      <c r="Y10" s="3">
        <v>10</v>
      </c>
      <c r="Z10" s="3">
        <v>10</v>
      </c>
      <c r="AA10" s="3">
        <v>10</v>
      </c>
      <c r="AB10" s="3">
        <v>10</v>
      </c>
      <c r="AC10" s="3">
        <v>10</v>
      </c>
      <c r="AD10" s="3">
        <v>10</v>
      </c>
      <c r="AE10" s="3">
        <v>10</v>
      </c>
      <c r="AF10" s="3">
        <v>10</v>
      </c>
      <c r="AG10" s="3">
        <v>10</v>
      </c>
      <c r="AH10" s="3">
        <v>10</v>
      </c>
      <c r="AI10" s="3">
        <v>10</v>
      </c>
      <c r="AJ10" s="3">
        <v>10</v>
      </c>
      <c r="AK10" s="22">
        <f>SUM(F10:AJ10)</f>
        <v>310</v>
      </c>
      <c r="AL10" s="22"/>
      <c r="AM10" s="22">
        <v>3000</v>
      </c>
      <c r="AN10" s="22">
        <v>10</v>
      </c>
      <c r="AO10" s="3">
        <f t="shared" si="1"/>
        <v>0</v>
      </c>
      <c r="AP10" s="22"/>
      <c r="AQ10" s="3">
        <f t="shared" si="2"/>
        <v>3000</v>
      </c>
    </row>
    <row r="11" spans="1:43" x14ac:dyDescent="0.35">
      <c r="A11" s="3">
        <v>7</v>
      </c>
      <c r="B11" s="3" t="s">
        <v>51</v>
      </c>
      <c r="C11" s="3" t="s">
        <v>58</v>
      </c>
      <c r="D11" s="3">
        <v>86460</v>
      </c>
      <c r="E11" s="3" t="s">
        <v>59</v>
      </c>
      <c r="F11" s="3"/>
      <c r="G11" s="3"/>
      <c r="H11" s="3"/>
      <c r="I11" s="3"/>
      <c r="J11" s="3"/>
      <c r="K11" s="3"/>
      <c r="L11" s="3"/>
      <c r="M11" s="19"/>
      <c r="N11" s="3"/>
      <c r="O11" s="3"/>
      <c r="P11" s="3"/>
      <c r="Q11" s="3"/>
      <c r="R11" s="3"/>
      <c r="S11" s="3"/>
      <c r="T11" s="19"/>
      <c r="U11" s="3"/>
      <c r="V11" s="3"/>
      <c r="W11" s="3"/>
      <c r="X11" s="3"/>
      <c r="Y11" s="3"/>
      <c r="Z11" s="3"/>
      <c r="AA11" s="19"/>
      <c r="AB11" s="3"/>
      <c r="AC11" s="3"/>
      <c r="AD11" s="3"/>
      <c r="AE11" s="3"/>
      <c r="AF11" s="3"/>
      <c r="AG11" s="3"/>
      <c r="AH11" s="19"/>
      <c r="AI11" s="3"/>
      <c r="AJ11" s="3"/>
      <c r="AK11" s="3"/>
      <c r="AL11" s="3"/>
      <c r="AM11" s="3">
        <v>3500</v>
      </c>
      <c r="AN11" s="3"/>
      <c r="AO11" s="3">
        <f t="shared" si="1"/>
        <v>0</v>
      </c>
      <c r="AP11" s="3"/>
      <c r="AQ11" s="3">
        <f t="shared" si="2"/>
        <v>3500</v>
      </c>
    </row>
    <row r="12" spans="1:43" x14ac:dyDescent="0.35">
      <c r="A12" s="3">
        <v>8</v>
      </c>
      <c r="B12" s="3" t="s">
        <v>60</v>
      </c>
      <c r="C12" s="23" t="s">
        <v>61</v>
      </c>
      <c r="D12" s="23"/>
      <c r="E12" s="23" t="s">
        <v>62</v>
      </c>
      <c r="F12" s="3"/>
      <c r="G12" s="3"/>
      <c r="H12" s="3"/>
      <c r="I12" s="3"/>
      <c r="J12" s="3"/>
      <c r="K12" s="3"/>
      <c r="L12" s="3"/>
      <c r="M12" s="19"/>
      <c r="N12" s="3"/>
      <c r="O12" s="3"/>
      <c r="P12" s="3"/>
      <c r="Q12" s="3"/>
      <c r="R12" s="3"/>
      <c r="S12" s="3"/>
      <c r="T12" s="19"/>
      <c r="U12" s="3"/>
      <c r="V12" s="3"/>
      <c r="W12" s="3"/>
      <c r="X12" s="3"/>
      <c r="Y12" s="3"/>
      <c r="Z12" s="3"/>
      <c r="AA12" s="19"/>
      <c r="AB12" s="3"/>
      <c r="AC12" s="3"/>
      <c r="AD12" s="3"/>
      <c r="AE12" s="3"/>
      <c r="AF12" s="3"/>
      <c r="AG12" s="3"/>
      <c r="AH12" s="19"/>
      <c r="AI12" s="3"/>
      <c r="AJ12" s="3"/>
      <c r="AK12" s="22">
        <f t="shared" si="0"/>
        <v>0</v>
      </c>
      <c r="AL12" s="22"/>
      <c r="AM12" s="22">
        <v>2000</v>
      </c>
      <c r="AN12" s="22">
        <v>7.69</v>
      </c>
      <c r="AO12" s="3">
        <f t="shared" si="1"/>
        <v>0</v>
      </c>
      <c r="AP12" s="22"/>
      <c r="AQ12" s="3">
        <f t="shared" si="2"/>
        <v>2000</v>
      </c>
    </row>
    <row r="13" spans="1:43" x14ac:dyDescent="0.35">
      <c r="A13" s="3">
        <v>9</v>
      </c>
      <c r="B13" s="3" t="s">
        <v>60</v>
      </c>
      <c r="C13" s="13" t="s">
        <v>61</v>
      </c>
      <c r="D13" s="13"/>
      <c r="E13" s="13" t="s">
        <v>63</v>
      </c>
      <c r="F13" s="3"/>
      <c r="G13" s="3"/>
      <c r="H13" s="3"/>
      <c r="I13" s="3"/>
      <c r="J13" s="3"/>
      <c r="K13" s="3"/>
      <c r="L13" s="3"/>
      <c r="M13" s="19"/>
      <c r="N13" s="3"/>
      <c r="O13" s="3"/>
      <c r="P13" s="3"/>
      <c r="Q13" s="3"/>
      <c r="R13" s="3"/>
      <c r="S13" s="3"/>
      <c r="T13" s="19"/>
      <c r="U13" s="3"/>
      <c r="V13" s="3"/>
      <c r="W13" s="3"/>
      <c r="X13" s="3"/>
      <c r="Y13" s="3"/>
      <c r="Z13" s="3"/>
      <c r="AA13" s="19"/>
      <c r="AB13" s="3"/>
      <c r="AC13" s="3"/>
      <c r="AD13" s="3"/>
      <c r="AE13" s="3"/>
      <c r="AF13" s="3"/>
      <c r="AG13" s="3"/>
      <c r="AH13" s="19"/>
      <c r="AI13" s="3"/>
      <c r="AJ13" s="3"/>
      <c r="AK13" s="3">
        <f t="shared" si="0"/>
        <v>0</v>
      </c>
      <c r="AL13" s="3"/>
      <c r="AM13" s="3">
        <v>2000</v>
      </c>
      <c r="AN13" s="3">
        <v>7.69</v>
      </c>
      <c r="AO13" s="3">
        <f t="shared" si="1"/>
        <v>0</v>
      </c>
      <c r="AP13" s="3"/>
      <c r="AQ13" s="3">
        <f t="shared" si="2"/>
        <v>2000</v>
      </c>
    </row>
    <row r="14" spans="1:43" x14ac:dyDescent="0.35">
      <c r="A14" s="3">
        <v>10</v>
      </c>
      <c r="B14" s="3" t="s">
        <v>51</v>
      </c>
      <c r="C14" s="3"/>
      <c r="D14" s="3"/>
      <c r="E14" s="13" t="s">
        <v>64</v>
      </c>
      <c r="F14" s="3"/>
      <c r="G14" s="3"/>
      <c r="H14" s="3"/>
      <c r="I14" s="3"/>
      <c r="J14" s="3"/>
      <c r="K14" s="3"/>
      <c r="L14" s="3"/>
      <c r="M14" s="19"/>
      <c r="N14" s="3"/>
      <c r="O14" s="3"/>
      <c r="P14" s="3"/>
      <c r="Q14" s="3"/>
      <c r="R14" s="3"/>
      <c r="S14" s="3"/>
      <c r="T14" s="19"/>
      <c r="U14" s="3"/>
      <c r="V14" s="3"/>
      <c r="W14" s="3"/>
      <c r="X14" s="3"/>
      <c r="Y14" s="3"/>
      <c r="Z14" s="3"/>
      <c r="AA14" s="19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f t="shared" si="1"/>
        <v>0</v>
      </c>
      <c r="AP14" s="3"/>
      <c r="AQ14" s="3">
        <v>2250</v>
      </c>
    </row>
    <row r="15" spans="1:43" x14ac:dyDescent="0.35">
      <c r="A15" s="24"/>
      <c r="B15" s="24"/>
      <c r="C15" s="24"/>
      <c r="D15" s="24"/>
      <c r="E15" s="25" t="s">
        <v>65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>
        <f>SUM(AQ4:AQ14)</f>
        <v>28000</v>
      </c>
    </row>
  </sheetData>
  <mergeCells count="8">
    <mergeCell ref="AP2:AP3"/>
    <mergeCell ref="AQ2:AQ3"/>
    <mergeCell ref="A1:AK1"/>
    <mergeCell ref="F2:AJ2"/>
    <mergeCell ref="AL2:AL3"/>
    <mergeCell ref="AM2:AM3"/>
    <mergeCell ref="AN2:AN3"/>
    <mergeCell ref="AO2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Mohamed Ahmad Al Hamadi</dc:creator>
  <cp:lastModifiedBy>Abdallah Mohamed Ahmad Al Hamadi</cp:lastModifiedBy>
  <dcterms:created xsi:type="dcterms:W3CDTF">2025-12-26T07:55:03Z</dcterms:created>
  <dcterms:modified xsi:type="dcterms:W3CDTF">2025-12-26T07:55:22Z</dcterms:modified>
</cp:coreProperties>
</file>